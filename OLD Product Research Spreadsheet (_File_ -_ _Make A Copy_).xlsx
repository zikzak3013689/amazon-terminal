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1. Product Spreadsheet" sheetId="1" r:id="rId5"/>
    <sheet state="visible" name="💰 2.  Product Margin" sheetId="2" r:id="rId6"/>
    <sheet state="visible" name="✅ 3. Product Checklist" sheetId="3" r:id="rId7"/>
    <sheet state="visible" name="🎯4. Recommended Tools" sheetId="4" r:id="rId8"/>
    <sheet state="hidden" name="HIDDEN - PassFail Lis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Use a tool like KeySearch to find the estimated monthly search volume on GOOGLE for each keyword.
🚀 Higher volume = higher demand.
🔎 Using Google ALSO helps you to find products 99% of other sellers are missing.</t>
      </text>
    </comment>
    <comment authorId="0" ref="B1">
      <text>
        <t xml:space="preserve">📌 INSTRUCTIONS:
1️⃣ Come up with 10 product ideas and write them down on the left side of this template.
2️⃣ Fill in the data for each product.
3️⃣ Whichever product has the...
✅ Lowest Amazon competitors
✅ Highest Google search volume
✅ Highest profit margin
✅ Does NOT infringe on trademark or patents
Could be worth pursuing over the others.
</t>
      </text>
    </comment>
    <comment authorId="0" ref="C2">
      <text>
        <t xml:space="preserve">🔗 Insert the LINK to the listing of the #1 seller in this product category on Amazon.
📊 You can either use a tool like Helium 10 to estimate sales volume OR...
You can see which seller has the highest number of reviews.</t>
      </text>
    </comment>
    <comment authorId="0" ref="E2">
      <text>
        <t xml:space="preserve">💰 Use a tool like Helium 10 X-Ray to estimate the MONTHLY REVENUE of the top-selling listing on Amazon.</t>
      </text>
    </comment>
    <comment authorId="0" ref="F2">
      <text>
        <t xml:space="preserve">📈 Use a tool like Helium 10 Magnet to estimate the MONTHLY AMAZON SEARCH VOLUME for this keyword.</t>
      </text>
    </comment>
    <comment authorId="0" ref="G2">
      <text>
        <t xml:space="preserve">🔗 Copy &amp; paste the LINK of the top-selling product on Etsy.</t>
      </text>
    </comment>
    <comment authorId="0" ref="I2">
      <text>
        <t xml:space="preserve">®️ Use a tool like trademarkia.com to make sure your brand name or any text on your product is not trademarked. </t>
      </text>
    </comment>
    <comment authorId="0" ref="J2">
      <text>
        <t xml:space="preserve">🔎 Use a tool like Google Patents to check to see if your product idea infringes on any design or utility patents.</t>
      </text>
    </comment>
    <comment authorId="0" ref="K2">
      <text>
        <t xml:space="preserve">💸 Use Sheet #2 to ESTIMATE the profit margin for this product type based on what price you would sell, how much it would cost to produce, etc.
📌 NOTE: This WILL take a bit of digging to figure out but is VERY important.</t>
      </text>
    </comment>
    <comment authorId="0" ref="L2">
      <text>
        <t xml:space="preserve">📌 Insert any other comments, points, or notes you would like to add about each product below.</t>
      </text>
    </comment>
    <comment authorId="0" ref="A2">
      <text>
        <t xml:space="preserve">💡 Come up with 10 product ideas and write each idea below 
(e.g. "soap mold", "sushi boat", "silicone ring", "taco holder", etc.)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ROI (Return on Investment) can be used as a metric to see how well your Amazon product can scale.
The higher the percentage, the easier it will be to scale your business.
Key:
🔴 POOR: 0% - 50%
🟡 OK: 50% - 99%
🟢 GOOD: 100% - 199%
🔵 GREAT: 200%+
If your profit score is less than " GOOD", find creative ways to make your product the #1 PREMIUM option in your category through quality, packaging, market research, images, copy, etc.</t>
      </text>
    </comment>
    <comment authorId="0" ref="B15">
      <text>
        <t xml:space="preserve">Having a healthy profit margin is vital to your physical products business.
Here is a good general rule of thumb:
🔴 HORRIBLE: 0% - 9%
🟡 POOR: 10% - 19%
🟢 GOOD: 20% - 24%
🔵 GREAT: 25%+
If your profit score is less than " GOOD", find creative ways to make your product the #1 PREMIUM option in your category through quality, packaging, images, copy, etc.</t>
      </text>
    </comment>
    <comment authorId="0" ref="B12">
      <text>
        <t xml:space="preserve">Are there any other costs such as inspection services, custom molds, GS1 barcodes, etc?</t>
      </text>
    </comment>
    <comment authorId="0" ref="B11">
      <text>
        <t xml:space="preserve">How much do you plan to spend on marketing and advertising PER UNIT?
This is usually 10% - 15% of your sale price.</t>
      </text>
    </comment>
    <comment authorId="0" ref="B10">
      <text>
        <t xml:space="preserve">Amazon storage fees are usually very inexpensive but you want to make sure you check with Amazon here: 
https://sellercentral.amazon.com/help/hub/reference/G3EDYEF6KUCFQTNM</t>
      </text>
    </comment>
    <comment authorId="0" ref="B9">
      <text>
        <t xml:space="preserve">You can use the AMZ Scout FBA Chrome Extension for a quick estimate of Amazon FBA fees BUT...
You want to make sure you check with Amazon directly here:
https://sellercentral.amazon.com/help/hub/reference/GPDC3KPYAGDTVDJP</t>
      </text>
    </comment>
    <comment authorId="0" ref="B8">
      <text>
        <t xml:space="preserve">The "Amazon Referral Fee" is basically the fee for using Amazon's platform which is usually about 15% of the sale price.
You can find your category's referral fee here:
https://sellercentral.amazon.com/help/hub/reference/GTG4BAWSY39Z98Z3</t>
      </text>
    </comment>
    <comment authorId="0" ref="B7">
      <text>
        <t xml:space="preserve">How much does it cost to ship 1 unit to the country you plan to sell?
Your supplier will give you this info.</t>
      </text>
    </comment>
    <comment authorId="0" ref="B6">
      <text>
        <t xml:space="preserve">What are the total packaging costs per unit?
Your supplier will give you this info.</t>
      </text>
    </comment>
    <comment authorId="0" ref="B5">
      <text>
        <t xml:space="preserve">How much does it cost to produce 1 unit?
Your supplier will give you this info.</t>
      </text>
    </comment>
    <comment authorId="0" ref="B3">
      <text>
        <t xml:space="preserve">At what price do you plan to sell your product (e.g. $40.00)</t>
      </text>
    </comment>
  </commentList>
</comments>
</file>

<file path=xl/sharedStrings.xml><?xml version="1.0" encoding="utf-8"?>
<sst xmlns="http://schemas.openxmlformats.org/spreadsheetml/2006/main" count="96" uniqueCount="94">
  <si>
    <t xml:space="preserve">    Product Checklist ✅</t>
  </si>
  <si>
    <t xml:space="preserve">     📊 PRODUCT MARGIN</t>
  </si>
  <si>
    <t>CRITERIA</t>
  </si>
  <si>
    <t>CHECKLIST</t>
  </si>
  <si>
    <t>Enter your product price here 👉</t>
  </si>
  <si>
    <t>Does NOT infringe on any copyright.</t>
  </si>
  <si>
    <t xml:space="preserve"> Product Research Template 🔎</t>
  </si>
  <si>
    <t>🏭 Production Costs</t>
  </si>
  <si>
    <t>Does NOT infringe on any patents.</t>
  </si>
  <si>
    <t>Does NOT infringe on any trademarks.</t>
  </si>
  <si>
    <t>Does NOT require a license to sell.</t>
  </si>
  <si>
    <t>Monthly GOOGLE search volume of 500+</t>
  </si>
  <si>
    <t>🎁 Packaging Costs</t>
  </si>
  <si>
    <t>PRODUCT IDEA</t>
  </si>
  <si>
    <t>🚢 Shipping Fees</t>
  </si>
  <si>
    <r>
      <rPr>
        <rFont val="Montserrat"/>
        <color theme="1"/>
        <sz val="14.0"/>
      </rPr>
      <t xml:space="preserve">Is </t>
    </r>
    <r>
      <rPr>
        <rFont val="Montserrat"/>
        <color theme="1"/>
        <sz val="14.0"/>
      </rPr>
      <t>NOT</t>
    </r>
    <r>
      <rPr>
        <rFont val="Montserrat"/>
        <color theme="1"/>
        <sz val="14.0"/>
      </rPr>
      <t xml:space="preserve"> </t>
    </r>
    <r>
      <rPr>
        <rFont val="Montserrat"/>
        <color theme="1"/>
        <sz val="14.0"/>
      </rPr>
      <t>consumable</t>
    </r>
    <r>
      <rPr>
        <rFont val="Montserrat"/>
        <color theme="1"/>
        <sz val="14.0"/>
      </rPr>
      <t>.</t>
    </r>
  </si>
  <si>
    <r>
      <rPr>
        <rFont val="Montserrat"/>
        <b/>
        <color theme="0"/>
        <sz val="18.0"/>
      </rPr>
      <t xml:space="preserve">💸 </t>
    </r>
    <r>
      <rPr>
        <rFont val="Montserrat"/>
        <b/>
        <color theme="0"/>
        <sz val="18.0"/>
        <u/>
      </rPr>
      <t>Amazon Referral Fee</t>
    </r>
  </si>
  <si>
    <r>
      <rPr>
        <rFont val="Montserrat"/>
        <color theme="1"/>
        <sz val="14.0"/>
      </rPr>
      <t xml:space="preserve">Is </t>
    </r>
    <r>
      <rPr>
        <rFont val="Montserrat"/>
        <color theme="1"/>
        <sz val="14.0"/>
      </rPr>
      <t>NOT a fad/ trend</t>
    </r>
    <r>
      <rPr>
        <rFont val="Montserrat"/>
        <color theme="1"/>
        <sz val="14.0"/>
      </rPr>
      <t>.</t>
    </r>
  </si>
  <si>
    <t>GOOGLE SEARCH VOLUME</t>
  </si>
  <si>
    <r>
      <rPr>
        <rFont val="Montserrat"/>
        <color theme="1"/>
        <sz val="14.0"/>
      </rPr>
      <t xml:space="preserve">Is </t>
    </r>
    <r>
      <rPr>
        <rFont val="Montserrat"/>
        <color theme="1"/>
        <sz val="14.0"/>
      </rPr>
      <t>NOT dangerous</t>
    </r>
    <r>
      <rPr>
        <rFont val="Montserrat"/>
        <color theme="1"/>
        <sz val="14.0"/>
      </rPr>
      <t>.</t>
    </r>
  </si>
  <si>
    <t>Median reviews of top 10 Amazon sellers &lt; 100</t>
  </si>
  <si>
    <t>#1 AMAZON SELLER</t>
  </si>
  <si>
    <r>
      <rPr>
        <rFont val="Montserrat"/>
        <color theme="1"/>
        <sz val="14.0"/>
      </rPr>
      <t xml:space="preserve">NOT easily </t>
    </r>
    <r>
      <rPr>
        <rFont val="Montserrat"/>
        <color theme="1"/>
        <sz val="14.0"/>
      </rPr>
      <t>breakable</t>
    </r>
    <r>
      <rPr>
        <rFont val="Montserrat"/>
        <color theme="1"/>
        <sz val="14.0"/>
      </rPr>
      <t>.</t>
    </r>
  </si>
  <si>
    <t>MEDIAN AMAZON REVIEWS</t>
  </si>
  <si>
    <t>Profit margin AT LEAST 31% (AFTER advertising expenses).</t>
  </si>
  <si>
    <t>AMAZON REVENUE (MONTHLY)</t>
  </si>
  <si>
    <t>Sells well in most/ all months.</t>
  </si>
  <si>
    <t>AMAZON SEARCH VOLUME</t>
  </si>
  <si>
    <t>#1 SELLING ETSY LINK</t>
  </si>
  <si>
    <t>ETSY REVENUE (TOTAL)</t>
  </si>
  <si>
    <t>TRADEMARK SEARCH</t>
  </si>
  <si>
    <t>PATENT SEARCH</t>
  </si>
  <si>
    <t>PROFIT MARGIN (%)</t>
  </si>
  <si>
    <t>NOTES</t>
  </si>
  <si>
    <t>wine stopper</t>
  </si>
  <si>
    <t>https://www.amazon.com/dp/B005N0WCE4?psc=1</t>
  </si>
  <si>
    <r>
      <rPr>
        <rFont val="Montserrat"/>
        <b/>
        <color theme="0"/>
        <sz val="18.0"/>
      </rPr>
      <t xml:space="preserve">🚚 </t>
    </r>
    <r>
      <rPr>
        <rFont val="Montserrat"/>
        <b/>
        <color theme="0"/>
        <sz val="18.0"/>
        <u/>
      </rPr>
      <t>Amazon Fulfilment Fee</t>
    </r>
  </si>
  <si>
    <t>📦 Amazon Storage Fees</t>
  </si>
  <si>
    <t>📈 Marketing &amp; Advertising</t>
  </si>
  <si>
    <t>Additional Fees</t>
  </si>
  <si>
    <t xml:space="preserve">     Recommended Tools 🎯</t>
  </si>
  <si>
    <t xml:space="preserve">Profit </t>
  </si>
  <si>
    <t>PASS</t>
  </si>
  <si>
    <t>TOOL</t>
  </si>
  <si>
    <t>FAIL</t>
  </si>
  <si>
    <t>PURPOSE</t>
  </si>
  <si>
    <t>Alibaba</t>
  </si>
  <si>
    <t>Margin</t>
  </si>
  <si>
    <t>Return on Investment (ROI)</t>
  </si>
  <si>
    <t>Find suppliers</t>
  </si>
  <si>
    <t>Amz Scout FBA Calculator</t>
  </si>
  <si>
    <t>https://www.etsy.com/listing/551604222/state-wood-wine-stopper-mothers-day?ga_order=most_relevant&amp;ga_search_type=all&amp;ga_view_type=gallery&amp;ga_search_query=wine+stopper&amp;ref=sc_gallery-1-11&amp;frs=1&amp;sts=1&amp;listing_id=551604222&amp;listing_slug=state-wood-wine-stopper-mothers-day&amp;plkey=d31794d694758e42db7f3e3facebcad76a0cca2f%3A551604222</t>
  </si>
  <si>
    <t>Estimate amazon fees</t>
  </si>
  <si>
    <t>Google Patents</t>
  </si>
  <si>
    <t>Design &amp; utility patent research</t>
  </si>
  <si>
    <t>Google Trends</t>
  </si>
  <si>
    <t>Product seasonality/ demand</t>
  </si>
  <si>
    <t>Helium 10</t>
  </si>
  <si>
    <t>boho wallet</t>
  </si>
  <si>
    <t>Amazon product &amp; keyword research</t>
  </si>
  <si>
    <t>Trademarkia</t>
  </si>
  <si>
    <t>product idea #3</t>
  </si>
  <si>
    <t>Trademark research</t>
  </si>
  <si>
    <t>Key Search</t>
  </si>
  <si>
    <t>product idea #4</t>
  </si>
  <si>
    <t>product idea #5</t>
  </si>
  <si>
    <t>Google keyword data</t>
  </si>
  <si>
    <t>USPTO</t>
  </si>
  <si>
    <t>product idea #6</t>
  </si>
  <si>
    <t>product idea #7</t>
  </si>
  <si>
    <t>product idea #8</t>
  </si>
  <si>
    <t>Patent &amp; trademark research</t>
  </si>
  <si>
    <t>product idea #9</t>
  </si>
  <si>
    <t>product idea #10</t>
  </si>
  <si>
    <t>product idea #11</t>
  </si>
  <si>
    <t>product idea #12</t>
  </si>
  <si>
    <t>product idea #13</t>
  </si>
  <si>
    <t>product idea #14</t>
  </si>
  <si>
    <t>product idea #15</t>
  </si>
  <si>
    <t>product idea #16</t>
  </si>
  <si>
    <t>product idea #17</t>
  </si>
  <si>
    <t>product idea #18</t>
  </si>
  <si>
    <t>product idea #19</t>
  </si>
  <si>
    <t>product idea #20</t>
  </si>
  <si>
    <t>product idea #21</t>
  </si>
  <si>
    <t>product idea #22</t>
  </si>
  <si>
    <t>product idea #23</t>
  </si>
  <si>
    <t>product idea #24</t>
  </si>
  <si>
    <t>product idea #25</t>
  </si>
  <si>
    <t>product idea #26</t>
  </si>
  <si>
    <t>product idea #27</t>
  </si>
  <si>
    <t>product idea #28</t>
  </si>
  <si>
    <t>product idea #29</t>
  </si>
  <si>
    <t>product idea #30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</si>
</sst>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quot;$&quot;#,##0.0"/>
  </numFmts>
  <fonts count="34">
    <font>
      <sz val="10.0"/>
      <color rgb="FF000000"/>
      <name val="Arial"/>
      <scheme val="minor"/>
    </font>
    <font>
      <b/>
      <sz val="47.0"/>
      <color rgb="FFFFFFFF"/>
      <name val="Georgia"/>
    </font>
    <font>
      <b/>
      <sz val="31.0"/>
      <color rgb="FFFFFFFF"/>
      <name val="Montserrat"/>
    </font>
    <font/>
    <font>
      <sz val="18.0"/>
      <color theme="1"/>
      <name val="Montserrat"/>
    </font>
    <font>
      <b/>
      <sz val="39.0"/>
      <color rgb="FFFFFFFF"/>
      <name val="Georgia"/>
    </font>
    <font>
      <b/>
      <sz val="14.0"/>
      <color theme="1"/>
      <name val="Montserrat"/>
    </font>
    <font>
      <b/>
      <sz val="18.0"/>
      <color rgb="FFFFFFFF"/>
      <name val="Montserrat"/>
    </font>
    <font>
      <sz val="11.0"/>
      <color theme="1"/>
      <name val="Montserrat"/>
    </font>
    <font>
      <sz val="14.0"/>
      <color theme="1"/>
      <name val="Montserrat"/>
    </font>
    <font>
      <sz val="14.0"/>
      <color rgb="FF000000"/>
      <name val="Montserrat"/>
    </font>
    <font>
      <b/>
      <sz val="18.0"/>
      <color theme="0"/>
      <name val="Montserrat"/>
    </font>
    <font>
      <sz val="39.0"/>
      <color theme="1"/>
      <name val="Georgia"/>
    </font>
    <font>
      <b/>
      <sz val="12.0"/>
      <color theme="0"/>
      <name val="Montserrat"/>
    </font>
    <font>
      <b/>
      <sz val="12.0"/>
      <color rgb="FFFFFFFF"/>
      <name val="Montserrat"/>
    </font>
    <font>
      <b/>
      <u/>
      <sz val="18.0"/>
      <color theme="0"/>
      <name val="Montserrat"/>
    </font>
    <font>
      <u/>
      <sz val="11.0"/>
      <color rgb="FF1155CC"/>
      <name val="Montserrat"/>
    </font>
    <font>
      <b/>
      <u/>
      <sz val="18.0"/>
      <color theme="0"/>
      <name val="Montserrat"/>
    </font>
    <font>
      <b/>
      <sz val="45.0"/>
      <color rgb="FFFFFFFF"/>
      <name val="Georgia"/>
    </font>
    <font>
      <b/>
      <sz val="18.0"/>
      <color theme="1"/>
      <name val="Montserrat"/>
    </font>
    <font>
      <b/>
      <sz val="39.0"/>
      <color theme="0"/>
      <name val="Georgia"/>
    </font>
    <font>
      <color theme="1"/>
      <name val="Arial"/>
      <scheme val="minor"/>
    </font>
    <font>
      <color theme="1"/>
      <name val="Montserrat"/>
    </font>
    <font>
      <b/>
      <u/>
      <sz val="14.0"/>
      <color rgb="FF1155CC"/>
      <name val="Montserrat"/>
    </font>
    <font>
      <sz val="11.0"/>
      <color rgb="FF000000"/>
      <name val="Montserrat"/>
    </font>
    <font>
      <b/>
      <u/>
      <sz val="14.0"/>
      <color rgb="FF1155CC"/>
      <name val="Montserrat"/>
    </font>
    <font>
      <u/>
      <sz val="11.0"/>
      <color rgb="FF1155CC"/>
      <name val="Montserrat"/>
    </font>
    <font>
      <b/>
      <u/>
      <sz val="14.0"/>
      <color rgb="FF0000FF"/>
      <name val="Montserrat"/>
    </font>
    <font>
      <u/>
      <sz val="11.0"/>
      <color rgb="FF1155CC"/>
      <name val="Montserrat"/>
    </font>
    <font>
      <u/>
      <sz val="11.0"/>
      <color rgb="FF1155CC"/>
      <name val="Montserrat"/>
    </font>
    <font>
      <u/>
      <sz val="11.0"/>
      <color rgb="FF1155CC"/>
      <name val="Montserrat"/>
    </font>
    <font>
      <u/>
      <sz val="11.0"/>
      <color rgb="FF1155CC"/>
      <name val="Montserrat"/>
    </font>
    <font>
      <color theme="1"/>
      <name val="Arial"/>
    </font>
    <font>
      <sz val="11.0"/>
      <color rgb="FF485E75"/>
      <name val="&quot;Nunito Sans&quot;"/>
    </font>
  </fonts>
  <fills count="16">
    <fill>
      <patternFill patternType="none"/>
    </fill>
    <fill>
      <patternFill patternType="lightGray"/>
    </fill>
    <fill>
      <patternFill patternType="solid">
        <fgColor theme="1"/>
        <bgColor theme="1"/>
      </patternFill>
    </fill>
    <fill>
      <patternFill patternType="solid">
        <fgColor rgb="FFFFD966"/>
        <bgColor rgb="FFFFD966"/>
      </patternFill>
    </fill>
    <fill>
      <patternFill patternType="solid">
        <fgColor rgb="FF2DA7AB"/>
        <bgColor rgb="FF2DA7AB"/>
      </patternFill>
    </fill>
    <fill>
      <patternFill patternType="solid">
        <fgColor rgb="FFFFFFFF"/>
        <bgColor rgb="FFFFFFFF"/>
      </patternFill>
    </fill>
    <fill>
      <patternFill patternType="solid">
        <fgColor rgb="FFFF4D4D"/>
        <bgColor rgb="FFFF4D4D"/>
      </patternFill>
    </fill>
    <fill>
      <patternFill patternType="solid">
        <fgColor rgb="FFF9F9F9"/>
        <bgColor rgb="FFF9F9F9"/>
      </patternFill>
    </fill>
    <fill>
      <patternFill patternType="solid">
        <fgColor rgb="FF9900FF"/>
        <bgColor rgb="FF9900FF"/>
      </patternFill>
    </fill>
    <fill>
      <patternFill patternType="solid">
        <fgColor rgb="FFFF0000"/>
        <bgColor rgb="FFFF0000"/>
      </patternFill>
    </fill>
    <fill>
      <patternFill patternType="solid">
        <fgColor rgb="FFF1C232"/>
        <bgColor rgb="FFF1C232"/>
      </patternFill>
    </fill>
    <fill>
      <patternFill patternType="solid">
        <fgColor theme="0"/>
        <bgColor theme="0"/>
      </patternFill>
    </fill>
    <fill>
      <patternFill patternType="solid">
        <fgColor rgb="FFFF9D0A"/>
        <bgColor rgb="FFFF9D0A"/>
      </patternFill>
    </fill>
    <fill>
      <patternFill patternType="solid">
        <fgColor rgb="FF4A86E8"/>
        <bgColor rgb="FF4A86E8"/>
      </patternFill>
    </fill>
    <fill>
      <patternFill patternType="solid">
        <fgColor rgb="FF6AA84F"/>
        <bgColor rgb="FF6AA84F"/>
      </patternFill>
    </fill>
    <fill>
      <patternFill patternType="solid">
        <fgColor rgb="FF66D4A0"/>
        <bgColor rgb="FF66D4A0"/>
      </patternFill>
    </fill>
  </fills>
  <borders count="33">
    <border/>
    <border>
      <left style="thick">
        <color rgb="FF000000"/>
      </left>
      <top style="thick">
        <color rgb="FF000000"/>
      </top>
      <bottom style="thick">
        <color rgb="FF000000"/>
      </bottom>
    </border>
    <border>
      <left style="thin">
        <color rgb="FF000000"/>
      </left>
      <top style="thin">
        <color rgb="FF000000"/>
      </top>
    </border>
    <border>
      <top style="thin">
        <color rgb="FF000000"/>
      </top>
    </border>
    <border>
      <top style="thick">
        <color rgb="FF000000"/>
      </top>
      <bottom style="thick">
        <color rgb="FF000000"/>
      </bottom>
    </border>
    <border>
      <right style="thin">
        <color rgb="FF000000"/>
      </right>
      <top style="thin">
        <color rgb="FF000000"/>
      </top>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FFFFFF"/>
      </right>
    </border>
    <border>
      <left style="thin">
        <color rgb="FFFFFFFF"/>
      </left>
      <right style="thin">
        <color rgb="FFFFFFFF"/>
      </right>
    </border>
    <border>
      <left style="thin">
        <color rgb="FFFFD966"/>
      </left>
      <right style="thin">
        <color rgb="FFFFD966"/>
      </right>
      <top style="thin">
        <color rgb="FFFFD966"/>
      </top>
      <bottom style="thin">
        <color rgb="FFFFD966"/>
      </bottom>
    </border>
    <border>
      <left style="thin">
        <color rgb="FFFFFFFF"/>
      </left>
      <right style="thin">
        <color rgb="FFFFFFFF"/>
      </right>
      <bottom style="thin">
        <color rgb="FFFFFFFF"/>
      </bottom>
    </border>
    <border>
      <left style="thick">
        <color rgb="FF2DA7AB"/>
      </left>
      <right style="thick">
        <color rgb="FF2DA7AB"/>
      </right>
      <top style="thick">
        <color rgb="FF2DA7AB"/>
      </top>
      <bottom style="thick">
        <color rgb="FF2DA7AB"/>
      </bottom>
    </border>
    <border>
      <left style="thin">
        <color rgb="FF000000"/>
      </left>
      <top style="thin">
        <color rgb="FF000000"/>
      </top>
      <bottom style="thin">
        <color rgb="FF000000"/>
      </bottom>
    </border>
    <border>
      <right style="thin">
        <color rgb="FFFFFFFF"/>
      </right>
      <top style="thin">
        <color rgb="FFFFFFFF"/>
      </top>
      <bottom style="thin">
        <color rgb="FFFFFFFF"/>
      </bottom>
    </border>
    <border>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000000"/>
      </right>
      <top style="thin">
        <color rgb="FF000000"/>
      </top>
      <bottom style="thin">
        <color rgb="FF000000"/>
      </bottom>
    </border>
    <border>
      <right style="thin">
        <color rgb="FFFFFFFF"/>
      </right>
      <bottom style="thin">
        <color rgb="FFFFFFFF"/>
      </bottom>
    </border>
    <border>
      <left style="thick">
        <color rgb="FFFF4D4D"/>
      </left>
      <right style="thick">
        <color rgb="FFFF4D4D"/>
      </right>
      <top style="thick">
        <color rgb="FFFF4D4D"/>
      </top>
      <bottom style="thick">
        <color rgb="FFFF4D4D"/>
      </bottom>
    </border>
    <border>
      <left style="thin">
        <color rgb="FF000000"/>
      </left>
      <right style="thin">
        <color rgb="FFFFFFFF"/>
      </right>
      <top style="thin">
        <color rgb="FFFFFFFF"/>
      </top>
      <bottom style="thin">
        <color rgb="FFFFFFFF"/>
      </bottom>
    </border>
    <border>
      <left style="thin">
        <color rgb="FF9900FF"/>
      </left>
      <right style="thin">
        <color rgb="FF9900FF"/>
      </right>
    </border>
    <border>
      <left style="thin">
        <color rgb="FFF1C232"/>
      </left>
      <right style="thin">
        <color rgb="FFF1C232"/>
      </right>
    </border>
    <border>
      <left style="thin">
        <color rgb="FFF1C232"/>
      </left>
    </border>
    <border>
      <left style="thin">
        <color rgb="FFFF9900"/>
      </left>
      <right style="thin">
        <color rgb="FFFF9900"/>
      </right>
    </border>
    <border>
      <left style="thin">
        <color rgb="FFFF9900"/>
      </left>
    </border>
    <border>
      <left style="thin">
        <color rgb="FF4A86E8"/>
      </left>
      <right style="thin">
        <color rgb="FF4A86E8"/>
      </right>
    </border>
    <border>
      <left style="thin">
        <color rgb="FF4A86E8"/>
      </left>
    </border>
    <border>
      <left style="thin">
        <color rgb="FF6AA84F"/>
      </left>
    </border>
    <border>
      <left style="thin">
        <color rgb="FFD9D9D9"/>
      </left>
      <right style="thin">
        <color rgb="FFD9D9D9"/>
      </right>
      <top style="thin">
        <color rgb="FFD9D9D9"/>
      </top>
      <bottom style="thin">
        <color rgb="FFD9D9D9"/>
      </bottom>
    </border>
    <border>
      <left style="thick">
        <color rgb="FF000000"/>
      </left>
      <right style="thick">
        <color rgb="FF000000"/>
      </right>
      <top style="thick">
        <color rgb="FF000000"/>
      </top>
      <bottom style="thick">
        <color rgb="FF000000"/>
      </bottom>
    </border>
    <border>
      <left style="thin">
        <color rgb="FFD9D9D9"/>
      </left>
      <right style="thin">
        <color rgb="FFD9D9D9"/>
      </right>
      <bottom style="thin">
        <color rgb="FFD9D9D9"/>
      </bottom>
    </border>
    <border>
      <left style="thin">
        <color rgb="FF000000"/>
      </left>
      <right style="thin">
        <color rgb="FFFFFFFF"/>
      </right>
      <bottom style="thin">
        <color rgb="FFFFFFFF"/>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2" numFmtId="0" xfId="0" applyAlignment="1" applyBorder="1" applyFill="1" applyFont="1">
      <alignment horizontal="left" readingOrder="0" vertical="center"/>
    </xf>
    <xf borderId="2" fillId="2" fontId="1" numFmtId="0" xfId="0" applyAlignment="1" applyBorder="1" applyFill="1" applyFont="1">
      <alignment readingOrder="0"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8" fillId="0" fontId="4" numFmtId="0" xfId="0" applyAlignment="1" applyBorder="1" applyFont="1">
      <alignment vertical="bottom"/>
    </xf>
    <xf borderId="7" fillId="2" fontId="5" numFmtId="0" xfId="0" applyAlignment="1" applyBorder="1" applyFill="1" applyFont="1">
      <alignment horizontal="center" vertical="bottom"/>
    </xf>
    <xf borderId="9" fillId="0" fontId="4" numFmtId="0" xfId="0" applyAlignment="1" applyBorder="1" applyFont="1">
      <alignment vertical="bottom"/>
    </xf>
    <xf borderId="10" fillId="3" fontId="6" numFmtId="0" xfId="0" applyAlignment="1" applyBorder="1" applyFill="1" applyFont="1">
      <alignment horizontal="center" readingOrder="0"/>
    </xf>
    <xf borderId="11" fillId="0" fontId="4" numFmtId="0" xfId="0" applyAlignment="1" applyBorder="1" applyFont="1">
      <alignment vertical="bottom"/>
    </xf>
    <xf borderId="12" fillId="4" fontId="7" numFmtId="0" xfId="0" applyAlignment="1" applyBorder="1" applyFill="1" applyFont="1">
      <alignment horizontal="right" readingOrder="0" vertical="bottom"/>
    </xf>
    <xf borderId="10" fillId="3" fontId="8" numFmtId="0" xfId="0" applyBorder="1" applyFill="1" applyFont="1"/>
    <xf borderId="0" fillId="0" fontId="9" numFmtId="0" xfId="0" applyAlignment="1" applyFont="1">
      <alignment readingOrder="0"/>
    </xf>
    <xf borderId="12" fillId="5" fontId="4" numFmtId="164" xfId="0" applyAlignment="1" applyBorder="1" applyFill="1" applyFont="1" applyNumberFormat="1">
      <alignment horizontal="center" readingOrder="0" vertical="center"/>
    </xf>
    <xf borderId="13" fillId="2" fontId="1" numFmtId="0" xfId="0" applyAlignment="1" applyBorder="1" applyFill="1" applyFont="1">
      <alignment readingOrder="0" vertical="center"/>
    </xf>
    <xf borderId="15" fillId="0" fontId="3" numFmtId="0" xfId="0" applyBorder="1" applyFont="1"/>
    <xf borderId="14" fillId="0" fontId="4" numFmtId="0" xfId="0" applyAlignment="1" applyBorder="1" applyFont="1">
      <alignment vertical="bottom"/>
    </xf>
    <xf borderId="0" fillId="0" fontId="10" numFmtId="0" xfId="0" applyAlignment="1" applyFont="1">
      <alignment readingOrder="0"/>
    </xf>
    <xf borderId="16" fillId="0" fontId="4" numFmtId="0" xfId="0" applyAlignment="1" applyBorder="1" applyFont="1">
      <alignment vertical="bottom"/>
    </xf>
    <xf borderId="17" fillId="0" fontId="3" numFmtId="0" xfId="0" applyBorder="1" applyFont="1"/>
    <xf borderId="18" fillId="0" fontId="8" numFmtId="0" xfId="0" applyBorder="1" applyFont="1"/>
    <xf borderId="19" fillId="6" fontId="11" numFmtId="0" xfId="0" applyAlignment="1" applyBorder="1" applyFill="1" applyFont="1">
      <alignment horizontal="right" vertical="bottom"/>
    </xf>
    <xf borderId="7" fillId="2" fontId="12" numFmtId="0" xfId="0" applyBorder="1" applyFill="1" applyFont="1"/>
    <xf borderId="14" fillId="0" fontId="8" numFmtId="0" xfId="0" applyBorder="1" applyFont="1"/>
    <xf borderId="19" fillId="5" fontId="4" numFmtId="164" xfId="0" applyAlignment="1" applyBorder="1" applyFill="1" applyFont="1" applyNumberFormat="1">
      <alignment horizontal="center"/>
    </xf>
    <xf borderId="20" fillId="7" fontId="12" numFmtId="0" xfId="0" applyBorder="1" applyFill="1" applyFont="1"/>
    <xf borderId="19" fillId="6" fontId="7" numFmtId="0" xfId="0" applyAlignment="1" applyBorder="1" applyFill="1" applyFont="1">
      <alignment horizontal="right" vertical="bottom"/>
    </xf>
    <xf borderId="21" fillId="8" fontId="13" numFmtId="0" xfId="0" applyAlignment="1" applyBorder="1" applyFill="1" applyFont="1">
      <alignment horizontal="center" readingOrder="0" vertical="center"/>
    </xf>
    <xf borderId="0" fillId="9" fontId="14" numFmtId="0" xfId="0" applyAlignment="1" applyFill="1" applyFont="1">
      <alignment horizontal="center" vertical="center"/>
    </xf>
    <xf borderId="0" fillId="0" fontId="10" numFmtId="0" xfId="0" applyFont="1"/>
    <xf borderId="22" fillId="10" fontId="13" numFmtId="0" xfId="0" applyAlignment="1" applyBorder="1" applyFill="1" applyFont="1">
      <alignment horizontal="center" readingOrder="0" vertical="center"/>
    </xf>
    <xf borderId="22" fillId="10" fontId="14" numFmtId="0" xfId="0" applyAlignment="1" applyBorder="1" applyFill="1" applyFont="1">
      <alignment horizontal="center" readingOrder="0" vertical="center"/>
    </xf>
    <xf borderId="23" fillId="10" fontId="14" numFmtId="0" xfId="0" applyAlignment="1" applyBorder="1" applyFill="1" applyFont="1">
      <alignment horizontal="center" readingOrder="0" vertical="center"/>
    </xf>
    <xf borderId="18" fillId="11" fontId="8" numFmtId="0" xfId="0" applyBorder="1" applyFill="1" applyFont="1"/>
    <xf borderId="24" fillId="12" fontId="14" numFmtId="0" xfId="0" applyAlignment="1" applyBorder="1" applyFill="1" applyFont="1">
      <alignment horizontal="center" readingOrder="0" vertical="center"/>
    </xf>
    <xf borderId="11" fillId="11" fontId="8" numFmtId="0" xfId="0" applyBorder="1" applyFill="1" applyFont="1"/>
    <xf borderId="25" fillId="12" fontId="14" numFmtId="0" xfId="0" applyAlignment="1" applyBorder="1" applyFill="1" applyFont="1">
      <alignment horizontal="center" readingOrder="0" vertical="center"/>
    </xf>
    <xf borderId="16" fillId="11" fontId="8" numFmtId="0" xfId="0" applyBorder="1" applyFill="1" applyFont="1"/>
    <xf borderId="26" fillId="13" fontId="13" numFmtId="0" xfId="0" applyAlignment="1" applyBorder="1" applyFill="1" applyFont="1">
      <alignment horizontal="center" readingOrder="0" vertical="center"/>
    </xf>
    <xf borderId="27" fillId="13" fontId="13" numFmtId="0" xfId="0" applyAlignment="1" applyBorder="1" applyFill="1" applyFont="1">
      <alignment horizontal="center" readingOrder="0" vertical="center"/>
    </xf>
    <xf borderId="19" fillId="6" fontId="15" numFmtId="0" xfId="0" applyAlignment="1" applyBorder="1" applyFill="1" applyFont="1">
      <alignment horizontal="right" vertical="bottom"/>
    </xf>
    <xf borderId="28" fillId="14" fontId="13" numFmtId="0" xfId="0" applyAlignment="1" applyBorder="1" applyFill="1" applyFont="1">
      <alignment horizontal="center" readingOrder="0" vertical="center"/>
    </xf>
    <xf borderId="14" fillId="7" fontId="13" numFmtId="0" xfId="0" applyAlignment="1" applyBorder="1" applyFill="1" applyFont="1">
      <alignment horizontal="center" vertical="center"/>
    </xf>
    <xf borderId="29" fillId="0" fontId="8" numFmtId="0" xfId="0" applyAlignment="1" applyBorder="1" applyFont="1">
      <alignment horizontal="left" readingOrder="0" vertical="bottom"/>
    </xf>
    <xf borderId="29" fillId="5" fontId="8" numFmtId="3" xfId="0" applyAlignment="1" applyBorder="1" applyFill="1" applyFont="1" applyNumberFormat="1">
      <alignment horizontal="center" readingOrder="0" vertical="bottom"/>
    </xf>
    <xf borderId="29" fillId="0" fontId="16" numFmtId="165" xfId="0" applyAlignment="1" applyBorder="1" applyFont="1" applyNumberFormat="1">
      <alignment horizontal="left" readingOrder="0" vertical="bottom"/>
    </xf>
    <xf borderId="19" fillId="6" fontId="17" numFmtId="0" xfId="0" applyAlignment="1" applyBorder="1" applyFill="1" applyFont="1">
      <alignment horizontal="right" readingOrder="0" vertical="bottom"/>
    </xf>
    <xf borderId="19" fillId="5" fontId="4" numFmtId="164" xfId="0" applyAlignment="1" applyBorder="1" applyFill="1" applyFont="1" applyNumberFormat="1">
      <alignment horizontal="center" readingOrder="0"/>
    </xf>
    <xf borderId="30" fillId="15" fontId="19" numFmtId="0" xfId="0" applyAlignment="1" applyBorder="1" applyFill="1" applyFont="1">
      <alignment horizontal="right" readingOrder="0" vertical="bottom"/>
    </xf>
    <xf borderId="2" fillId="2" fontId="18" numFmtId="0" xfId="0" applyAlignment="1" applyBorder="1" applyFill="1" applyFont="1">
      <alignment readingOrder="0" vertical="center"/>
    </xf>
    <xf borderId="20" fillId="11" fontId="20" numFmtId="0" xfId="0" applyAlignment="1" applyBorder="1" applyFill="1" applyFont="1">
      <alignment readingOrder="0"/>
    </xf>
    <xf borderId="0" fillId="0" fontId="21" numFmtId="0" xfId="0" applyAlignment="1" applyFont="1">
      <alignment horizontal="center" readingOrder="0"/>
    </xf>
    <xf borderId="14" fillId="0" fontId="22" numFmtId="0" xfId="0" applyAlignment="1" applyBorder="1" applyFont="1">
      <alignment readingOrder="0"/>
    </xf>
    <xf borderId="30" fillId="0" fontId="19" numFmtId="166" xfId="0" applyAlignment="1" applyBorder="1" applyFont="1" applyNumberFormat="1">
      <alignment horizontal="center" vertical="center"/>
    </xf>
    <xf borderId="30" fillId="0" fontId="19" numFmtId="9" xfId="0" applyAlignment="1" applyBorder="1" applyFont="1" applyNumberFormat="1">
      <alignment horizontal="center" vertical="center"/>
    </xf>
    <xf borderId="30" fillId="15" fontId="19" numFmtId="0" xfId="0" applyAlignment="1" applyBorder="1" applyFill="1" applyFont="1">
      <alignment horizontal="right" vertical="bottom"/>
    </xf>
    <xf borderId="31" fillId="0" fontId="23" numFmtId="0" xfId="0" applyAlignment="1" applyBorder="1" applyFont="1">
      <alignment readingOrder="0"/>
    </xf>
    <xf borderId="31" fillId="0" fontId="9" numFmtId="0" xfId="0" applyAlignment="1" applyBorder="1" applyFont="1">
      <alignment readingOrder="0"/>
    </xf>
    <xf borderId="29" fillId="0" fontId="24" numFmtId="3" xfId="0" applyAlignment="1" applyBorder="1" applyFont="1" applyNumberFormat="1">
      <alignment horizontal="center" readingOrder="0" vertical="bottom"/>
    </xf>
    <xf borderId="32" fillId="0" fontId="4" numFmtId="0" xfId="0" applyAlignment="1" applyBorder="1" applyFont="1">
      <alignment vertical="bottom"/>
    </xf>
    <xf borderId="11" fillId="0" fontId="4" numFmtId="0" xfId="0" applyAlignment="1" applyBorder="1" applyFont="1">
      <alignment vertical="bottom"/>
    </xf>
    <xf borderId="29" fillId="0" fontId="24" numFmtId="165" xfId="0" applyAlignment="1" applyBorder="1" applyFont="1" applyNumberFormat="1">
      <alignment horizontal="center" readingOrder="0" vertical="bottom"/>
    </xf>
    <xf borderId="29" fillId="0" fontId="25" numFmtId="0" xfId="0" applyAlignment="1" applyBorder="1" applyFont="1">
      <alignment readingOrder="0"/>
    </xf>
    <xf borderId="29" fillId="0" fontId="9" numFmtId="0" xfId="0" applyAlignment="1" applyBorder="1" applyFont="1">
      <alignment readingOrder="0"/>
    </xf>
    <xf borderId="14" fillId="0" fontId="22" numFmtId="0" xfId="0" applyBorder="1" applyFont="1"/>
    <xf borderId="29" fillId="0" fontId="26" numFmtId="0" xfId="0" applyAlignment="1" applyBorder="1" applyFont="1">
      <alignment horizontal="left" readingOrder="0" vertical="bottom"/>
    </xf>
    <xf borderId="29" fillId="0" fontId="8" numFmtId="164" xfId="0" applyAlignment="1" applyBorder="1" applyFont="1" applyNumberFormat="1">
      <alignment horizontal="center" readingOrder="0" vertical="bottom"/>
    </xf>
    <xf borderId="29" fillId="0" fontId="8" numFmtId="0" xfId="0" applyAlignment="1" applyBorder="1" applyFont="1">
      <alignment horizontal="center" vertical="bottom"/>
    </xf>
    <xf borderId="29" fillId="0" fontId="24" numFmtId="165" xfId="0" applyAlignment="1" applyBorder="1" applyFont="1" applyNumberFormat="1">
      <alignment horizontal="center" vertical="bottom"/>
    </xf>
    <xf borderId="14" fillId="7" fontId="8" numFmtId="0" xfId="0" applyAlignment="1" applyBorder="1" applyFill="1" applyFont="1">
      <alignment horizontal="center" readingOrder="0" vertical="bottom"/>
    </xf>
    <xf borderId="29" fillId="0" fontId="8" numFmtId="0" xfId="0" applyAlignment="1" applyBorder="1" applyFont="1">
      <alignment horizontal="left" readingOrder="0"/>
    </xf>
    <xf borderId="29" fillId="0" fontId="27" numFmtId="0" xfId="0" applyAlignment="1" applyBorder="1" applyFont="1">
      <alignment readingOrder="0"/>
    </xf>
    <xf borderId="29" fillId="0" fontId="24" numFmtId="3" xfId="0" applyAlignment="1" applyBorder="1" applyFont="1" applyNumberFormat="1">
      <alignment horizontal="center" vertical="bottom"/>
    </xf>
    <xf borderId="29" fillId="5" fontId="28" numFmtId="165" xfId="0" applyAlignment="1" applyBorder="1" applyFill="1" applyFont="1" applyNumberFormat="1">
      <alignment horizontal="left" readingOrder="0" vertical="bottom"/>
    </xf>
    <xf borderId="29" fillId="5" fontId="24" numFmtId="3" xfId="0" applyAlignment="1" applyBorder="1" applyFill="1" applyFont="1" applyNumberFormat="1">
      <alignment horizontal="center" vertical="bottom"/>
    </xf>
    <xf borderId="29" fillId="5" fontId="24" numFmtId="165" xfId="0" applyAlignment="1" applyBorder="1" applyFill="1" applyFont="1" applyNumberFormat="1">
      <alignment horizontal="center" readingOrder="0" vertical="bottom"/>
    </xf>
    <xf borderId="29" fillId="5" fontId="24" numFmtId="3" xfId="0" applyAlignment="1" applyBorder="1" applyFill="1" applyFont="1" applyNumberFormat="1">
      <alignment horizontal="center" readingOrder="0" vertical="bottom"/>
    </xf>
    <xf borderId="29" fillId="5" fontId="29" numFmtId="0" xfId="0" applyAlignment="1" applyBorder="1" applyFill="1" applyFont="1">
      <alignment horizontal="left" readingOrder="0" vertical="bottom"/>
    </xf>
    <xf borderId="29" fillId="5" fontId="8" numFmtId="0" xfId="0" applyAlignment="1" applyBorder="1" applyFill="1" applyFont="1">
      <alignment horizontal="center" vertical="bottom"/>
    </xf>
    <xf borderId="29" fillId="5" fontId="24" numFmtId="165" xfId="0" applyAlignment="1" applyBorder="1" applyFill="1" applyFont="1" applyNumberFormat="1">
      <alignment horizontal="center" vertical="bottom"/>
    </xf>
    <xf borderId="14" fillId="5" fontId="8" numFmtId="0" xfId="0" applyAlignment="1" applyBorder="1" applyFill="1" applyFont="1">
      <alignment horizontal="center" readingOrder="0" vertical="bottom"/>
    </xf>
    <xf borderId="29" fillId="5" fontId="8" numFmtId="3" xfId="0" applyAlignment="1" applyBorder="1" applyFill="1" applyFont="1" applyNumberFormat="1">
      <alignment horizontal="center" vertical="bottom"/>
    </xf>
    <xf borderId="29" fillId="0" fontId="30" numFmtId="165" xfId="0" applyAlignment="1" applyBorder="1" applyFont="1" applyNumberFormat="1">
      <alignment horizontal="left" vertical="bottom"/>
    </xf>
    <xf borderId="11" fillId="0" fontId="22" numFmtId="0" xfId="0" applyBorder="1" applyFont="1"/>
    <xf borderId="29" fillId="0" fontId="31" numFmtId="0" xfId="0" applyAlignment="1" applyBorder="1" applyFont="1">
      <alignment horizontal="center" vertical="bottom"/>
    </xf>
    <xf borderId="16" fillId="0" fontId="22" numFmtId="0" xfId="0" applyBorder="1" applyFont="1"/>
    <xf borderId="29" fillId="5" fontId="32" numFmtId="0" xfId="0" applyAlignment="1" applyBorder="1" applyFill="1" applyFont="1">
      <alignment readingOrder="0" vertical="bottom"/>
    </xf>
    <xf borderId="29" fillId="0" fontId="8" numFmtId="0" xfId="0" applyAlignment="1" applyBorder="1" applyFont="1">
      <alignment horizontal="left"/>
    </xf>
    <xf borderId="29" fillId="0" fontId="8" numFmtId="3" xfId="0" applyAlignment="1" applyBorder="1" applyFont="1" applyNumberFormat="1">
      <alignment horizontal="center"/>
    </xf>
    <xf borderId="29" fillId="0" fontId="8" numFmtId="165" xfId="0" applyAlignment="1" applyBorder="1" applyFont="1" applyNumberFormat="1">
      <alignment horizontal="center"/>
    </xf>
    <xf borderId="29" fillId="0" fontId="8" numFmtId="0" xfId="0" applyAlignment="1" applyBorder="1" applyFont="1">
      <alignment horizontal="center"/>
    </xf>
    <xf borderId="14" fillId="7" fontId="8" numFmtId="0" xfId="0" applyAlignment="1" applyBorder="1" applyFill="1" applyFont="1">
      <alignment horizontal="center"/>
    </xf>
    <xf borderId="29" fillId="5" fontId="32" numFmtId="0" xfId="0" applyAlignment="1" applyBorder="1" applyFill="1" applyFont="1">
      <alignment vertical="bottom"/>
    </xf>
    <xf borderId="29" fillId="0" fontId="8" numFmtId="0" xfId="0" applyAlignment="1" applyBorder="1" applyFont="1">
      <alignment horizontal="center" readingOrder="0"/>
    </xf>
    <xf borderId="29" fillId="0" fontId="32" numFmtId="0" xfId="0" applyAlignment="1" applyBorder="1" applyFont="1">
      <alignment vertical="bottom"/>
    </xf>
    <xf borderId="29" fillId="0" fontId="32" numFmtId="0" xfId="0" applyAlignment="1" applyBorder="1" applyFont="1">
      <alignment vertical="bottom"/>
    </xf>
    <xf borderId="29" fillId="0" fontId="8" numFmtId="3" xfId="0" applyAlignment="1" applyBorder="1" applyFont="1" applyNumberFormat="1">
      <alignment horizontal="center" readingOrder="0"/>
    </xf>
    <xf borderId="29" fillId="0" fontId="8" numFmtId="3" xfId="0" applyBorder="1" applyFont="1" applyNumberFormat="1"/>
    <xf borderId="29" fillId="0" fontId="8" numFmtId="165" xfId="0" applyBorder="1" applyFont="1" applyNumberFormat="1"/>
    <xf borderId="29" fillId="0" fontId="8" numFmtId="0" xfId="0" applyBorder="1" applyFont="1"/>
    <xf borderId="14" fillId="7" fontId="8" numFmtId="0" xfId="0" applyBorder="1" applyFill="1" applyFont="1"/>
    <xf borderId="29" fillId="0" fontId="32" numFmtId="3" xfId="0" applyAlignment="1" applyBorder="1" applyFont="1" applyNumberFormat="1">
      <alignment readingOrder="0" vertical="bottom"/>
    </xf>
    <xf borderId="29" fillId="0" fontId="8" numFmtId="0" xfId="0" applyAlignment="1" applyBorder="1" applyFont="1">
      <alignment readingOrder="0"/>
    </xf>
    <xf borderId="29" fillId="5" fontId="33" numFmtId="3" xfId="0" applyAlignment="1" applyBorder="1" applyFill="1" applyFont="1" applyNumberFormat="1">
      <alignment readingOrder="0" shrinkToFit="0" wrapText="0"/>
    </xf>
    <xf borderId="11" fillId="0" fontId="8" numFmtId="0" xfId="0" applyAlignment="1" applyBorder="1" applyFont="1">
      <alignment horizontal="left"/>
    </xf>
    <xf borderId="11" fillId="0" fontId="32" numFmtId="0" xfId="0" applyAlignment="1" applyBorder="1" applyFont="1">
      <alignment vertical="bottom"/>
    </xf>
    <xf borderId="11" fillId="0" fontId="8" numFmtId="0" xfId="0" applyBorder="1" applyFont="1"/>
    <xf borderId="16" fillId="7" fontId="8" numFmtId="0" xfId="0" applyBorder="1" applyFill="1" applyFont="1"/>
  </cellXfs>
  <cellStyles count="1">
    <cellStyle xfId="0" name="Normal" builtinId="0"/>
  </cellStyles>
  <dxfs count="8">
    <dxf>
      <font>
        <color rgb="FF6AA84F"/>
      </font>
      <fill>
        <patternFill patternType="solid">
          <fgColor rgb="FFD9EAD3"/>
          <bgColor rgb="FFD9EAD3"/>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B6D7A8"/>
          <bgColor rgb="FFB6D7A8"/>
        </patternFill>
      </fill>
      <border/>
    </dxf>
    <dxf>
      <font/>
      <fill>
        <patternFill patternType="solid">
          <fgColor rgb="FFFCE5CD"/>
          <bgColor rgb="FFFCE5CD"/>
        </patternFill>
      </fill>
      <border/>
    </dxf>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amazon.com/dp/B005N0WCE4?psc=1" TargetMode="External"/><Relationship Id="rId3" Type="http://schemas.openxmlformats.org/officeDocument/2006/relationships/hyperlink" Target="https://www.etsy.com/listing/551604222/state-wood-wine-stopper-mothers-day?ga_order=most_relevant&amp;ga_search_type=all&amp;ga_view_type=gallery&amp;ga_search_query=wine+stopper&amp;ref=sc_gallery-1-11&amp;frs=1&amp;sts=1&amp;listing_id=551604222&amp;listing_slug=state-wood-wine-stopper-mothers-day&amp;plkey=d31794d694758e42db7f3e3facebcad76a0cca2f%3A551604222"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ellercentral.amazon.com/help/hub/reference/GTG4BAWSY39Z98Z3" TargetMode="External"/><Relationship Id="rId3" Type="http://schemas.openxmlformats.org/officeDocument/2006/relationships/hyperlink" Target="https://sellercentral.amazon.com/help/hub/reference/GPDC3KPYAGDTVDJP" TargetMode="External"/><Relationship Id="rId4" Type="http://schemas.openxmlformats.org/officeDocument/2006/relationships/hyperlink" Target="https://sellercentral.amazon.com/help/hub/reference/G3EDYEF6KUCFQTNM"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ibaba.com/" TargetMode="External"/><Relationship Id="rId2" Type="http://schemas.openxmlformats.org/officeDocument/2006/relationships/hyperlink" Target="https://chrome.google.com/webstore/detail/fba-calculator-free-exten/dkgjopcolgcafhnicdahjemapkniikeh?hl=en" TargetMode="External"/><Relationship Id="rId3" Type="http://schemas.openxmlformats.org/officeDocument/2006/relationships/hyperlink" Target="https://www.google.com/?tbm=pts" TargetMode="External"/><Relationship Id="rId4" Type="http://schemas.openxmlformats.org/officeDocument/2006/relationships/hyperlink" Target="https://trends.google.com/trends/" TargetMode="External"/><Relationship Id="rId9" Type="http://schemas.openxmlformats.org/officeDocument/2006/relationships/drawing" Target="../drawings/drawing4.xml"/><Relationship Id="rId5" Type="http://schemas.openxmlformats.org/officeDocument/2006/relationships/hyperlink" Target="https://i.helium10.com/raPzA3" TargetMode="External"/><Relationship Id="rId6" Type="http://schemas.openxmlformats.org/officeDocument/2006/relationships/hyperlink" Target="https://www.trademarkia.com/" TargetMode="External"/><Relationship Id="rId7" Type="http://schemas.openxmlformats.org/officeDocument/2006/relationships/hyperlink" Target="https://jvz3.com/c/2512643/236409" TargetMode="External"/><Relationship Id="rId8" Type="http://schemas.openxmlformats.org/officeDocument/2006/relationships/hyperlink" Target="https://www.uspto.gov/"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75"/>
    <col customWidth="1" min="2" max="2" width="31.0"/>
    <col customWidth="1" min="3" max="3" width="26.25"/>
    <col customWidth="1" min="4" max="4" width="31.38"/>
    <col customWidth="1" min="5" max="5" width="35.88"/>
    <col customWidth="1" min="6" max="6" width="31.0"/>
    <col customWidth="1" min="7" max="7" width="26.63"/>
    <col customWidth="1" min="8" max="8" width="25.63"/>
    <col customWidth="1" min="9" max="9" width="25.5"/>
    <col customWidth="1" min="10" max="10" width="19.88"/>
    <col customWidth="1" min="11" max="11" width="21.75"/>
    <col customWidth="1" min="12" max="12" width="13.75"/>
    <col customWidth="1" min="13" max="13" width="3.0"/>
  </cols>
  <sheetData>
    <row r="1" ht="81.0" customHeight="1">
      <c r="A1" s="8"/>
      <c r="B1" s="16" t="s">
        <v>6</v>
      </c>
      <c r="C1" s="17"/>
      <c r="D1" s="17"/>
      <c r="E1" s="17"/>
      <c r="F1" s="17"/>
      <c r="G1" s="17"/>
      <c r="H1" s="17"/>
      <c r="I1" s="17"/>
      <c r="J1" s="17"/>
      <c r="K1" s="21"/>
      <c r="L1" s="24"/>
      <c r="M1" s="27"/>
    </row>
    <row r="2" ht="21.75" customHeight="1">
      <c r="A2" s="29" t="s">
        <v>13</v>
      </c>
      <c r="B2" s="30" t="s">
        <v>18</v>
      </c>
      <c r="C2" s="32" t="s">
        <v>21</v>
      </c>
      <c r="D2" s="33" t="s">
        <v>23</v>
      </c>
      <c r="E2" s="33" t="s">
        <v>25</v>
      </c>
      <c r="F2" s="34" t="s">
        <v>27</v>
      </c>
      <c r="G2" s="36" t="s">
        <v>28</v>
      </c>
      <c r="H2" s="38" t="s">
        <v>29</v>
      </c>
      <c r="I2" s="40" t="s">
        <v>30</v>
      </c>
      <c r="J2" s="41" t="s">
        <v>31</v>
      </c>
      <c r="K2" s="43" t="s">
        <v>32</v>
      </c>
      <c r="L2" s="29" t="s">
        <v>33</v>
      </c>
      <c r="M2" s="44"/>
    </row>
    <row r="3">
      <c r="A3" s="45" t="s">
        <v>34</v>
      </c>
      <c r="B3" s="46">
        <v>3600.0</v>
      </c>
      <c r="C3" s="47" t="s">
        <v>35</v>
      </c>
      <c r="D3" s="60">
        <f>MEDIAN(5771,143,3224,2177,2177,3289,154,142,10506,6876)</f>
        <v>2700.5</v>
      </c>
      <c r="E3" s="63">
        <v>59320.0</v>
      </c>
      <c r="F3" s="60">
        <v>41101.0</v>
      </c>
      <c r="G3" s="67" t="s">
        <v>51</v>
      </c>
      <c r="H3" s="63">
        <v>12130.0</v>
      </c>
      <c r="I3" s="68" t="s">
        <v>42</v>
      </c>
      <c r="J3" s="68" t="s">
        <v>42</v>
      </c>
      <c r="K3" s="69"/>
      <c r="L3" s="70"/>
      <c r="M3" s="71"/>
    </row>
    <row r="4">
      <c r="A4" s="72" t="s">
        <v>58</v>
      </c>
      <c r="B4" s="46">
        <v>1000.0</v>
      </c>
      <c r="C4" s="47"/>
      <c r="D4" s="74"/>
      <c r="E4" s="63"/>
      <c r="F4" s="60"/>
      <c r="G4" s="67"/>
      <c r="H4" s="63"/>
      <c r="I4" s="68"/>
      <c r="J4" s="68"/>
      <c r="K4" s="69"/>
      <c r="L4" s="70"/>
      <c r="M4" s="71"/>
    </row>
    <row r="5">
      <c r="A5" s="72" t="s">
        <v>61</v>
      </c>
      <c r="B5" s="46"/>
      <c r="C5" s="75"/>
      <c r="D5" s="76"/>
      <c r="E5" s="77"/>
      <c r="F5" s="78"/>
      <c r="G5" s="79"/>
      <c r="H5" s="77"/>
      <c r="I5" s="68"/>
      <c r="J5" s="68"/>
      <c r="K5" s="80"/>
      <c r="L5" s="81"/>
      <c r="M5" s="82"/>
    </row>
    <row r="6">
      <c r="A6" s="72" t="s">
        <v>64</v>
      </c>
      <c r="B6" s="46"/>
      <c r="C6" s="47"/>
      <c r="D6" s="74"/>
      <c r="E6" s="63"/>
      <c r="F6" s="60"/>
      <c r="G6" s="67"/>
      <c r="H6" s="63"/>
      <c r="I6" s="68"/>
      <c r="J6" s="68"/>
      <c r="K6" s="69"/>
      <c r="L6" s="70"/>
      <c r="M6" s="71"/>
    </row>
    <row r="7">
      <c r="A7" s="72" t="s">
        <v>65</v>
      </c>
      <c r="B7" s="46"/>
      <c r="C7" s="47"/>
      <c r="D7" s="74"/>
      <c r="E7" s="63"/>
      <c r="F7" s="60"/>
      <c r="G7" s="67"/>
      <c r="H7" s="63"/>
      <c r="I7" s="68"/>
      <c r="J7" s="68"/>
      <c r="K7" s="69"/>
      <c r="L7" s="70"/>
      <c r="M7" s="71"/>
    </row>
    <row r="8">
      <c r="A8" s="72" t="s">
        <v>68</v>
      </c>
      <c r="B8" s="46"/>
      <c r="C8" s="47"/>
      <c r="D8" s="74"/>
      <c r="E8" s="63"/>
      <c r="F8" s="60"/>
      <c r="G8" s="67"/>
      <c r="H8" s="63"/>
      <c r="I8" s="68"/>
      <c r="J8" s="68"/>
      <c r="K8" s="69"/>
      <c r="L8" s="70"/>
      <c r="M8" s="71"/>
    </row>
    <row r="9">
      <c r="A9" s="72" t="s">
        <v>69</v>
      </c>
      <c r="B9" s="46"/>
      <c r="C9" s="47"/>
      <c r="D9" s="74"/>
      <c r="E9" s="63"/>
      <c r="F9" s="60"/>
      <c r="G9" s="60"/>
      <c r="H9" s="63"/>
      <c r="I9" s="68"/>
      <c r="J9" s="68"/>
      <c r="K9" s="69"/>
      <c r="L9" s="70"/>
      <c r="M9" s="71"/>
    </row>
    <row r="10">
      <c r="A10" s="72" t="s">
        <v>70</v>
      </c>
      <c r="B10" s="83"/>
      <c r="C10" s="84"/>
      <c r="D10" s="74"/>
      <c r="E10" s="70"/>
      <c r="F10" s="60"/>
      <c r="G10" s="86"/>
      <c r="H10" s="70"/>
      <c r="I10" s="68"/>
      <c r="J10" s="68"/>
      <c r="K10" s="69"/>
      <c r="L10" s="70"/>
      <c r="M10" s="71"/>
    </row>
    <row r="11">
      <c r="A11" s="72" t="s">
        <v>72</v>
      </c>
      <c r="B11" s="88"/>
      <c r="C11" s="89"/>
      <c r="D11" s="90"/>
      <c r="E11" s="91"/>
      <c r="F11" s="92"/>
      <c r="G11" s="92"/>
      <c r="H11" s="91"/>
      <c r="I11" s="68"/>
      <c r="J11" s="68"/>
      <c r="K11" s="92"/>
      <c r="L11" s="92"/>
      <c r="M11" s="93"/>
    </row>
    <row r="12">
      <c r="A12" s="72" t="s">
        <v>73</v>
      </c>
      <c r="B12" s="94"/>
      <c r="C12" s="89"/>
      <c r="D12" s="90"/>
      <c r="E12" s="91"/>
      <c r="F12" s="95"/>
      <c r="G12" s="92"/>
      <c r="H12" s="91"/>
      <c r="I12" s="68"/>
      <c r="J12" s="68"/>
      <c r="K12" s="92"/>
      <c r="L12" s="92"/>
      <c r="M12" s="93"/>
    </row>
    <row r="13">
      <c r="A13" s="72" t="s">
        <v>74</v>
      </c>
      <c r="B13" s="96"/>
      <c r="C13" s="89"/>
      <c r="D13" s="90"/>
      <c r="E13" s="91"/>
      <c r="F13" s="92"/>
      <c r="G13" s="92"/>
      <c r="H13" s="91"/>
      <c r="I13" s="68"/>
      <c r="J13" s="68"/>
      <c r="K13" s="92"/>
      <c r="L13" s="92"/>
      <c r="M13" s="93"/>
    </row>
    <row r="14">
      <c r="A14" s="72" t="s">
        <v>75</v>
      </c>
      <c r="B14" s="97"/>
      <c r="C14" s="89"/>
      <c r="D14" s="98"/>
      <c r="E14" s="91"/>
      <c r="F14" s="92"/>
      <c r="G14" s="92"/>
      <c r="H14" s="91"/>
      <c r="I14" s="68"/>
      <c r="J14" s="68"/>
      <c r="K14" s="92"/>
      <c r="L14" s="92"/>
      <c r="M14" s="93"/>
    </row>
    <row r="15">
      <c r="A15" s="72" t="s">
        <v>76</v>
      </c>
      <c r="B15" s="96"/>
      <c r="C15" s="89"/>
      <c r="D15" s="99"/>
      <c r="E15" s="100"/>
      <c r="F15" s="101"/>
      <c r="G15" s="101"/>
      <c r="H15" s="100"/>
      <c r="I15" s="68"/>
      <c r="J15" s="68"/>
      <c r="K15" s="101"/>
      <c r="L15" s="101"/>
      <c r="M15" s="102"/>
    </row>
    <row r="16">
      <c r="A16" s="72" t="s">
        <v>77</v>
      </c>
      <c r="B16" s="96"/>
      <c r="C16" s="89"/>
      <c r="D16" s="99"/>
      <c r="E16" s="100"/>
      <c r="F16" s="101"/>
      <c r="G16" s="101"/>
      <c r="H16" s="100"/>
      <c r="I16" s="68"/>
      <c r="J16" s="68"/>
      <c r="K16" s="101"/>
      <c r="L16" s="101"/>
      <c r="M16" s="102"/>
    </row>
    <row r="17">
      <c r="A17" s="72" t="s">
        <v>78</v>
      </c>
      <c r="B17" s="103"/>
      <c r="C17" s="89"/>
      <c r="D17" s="99"/>
      <c r="E17" s="100"/>
      <c r="F17" s="101"/>
      <c r="G17" s="101"/>
      <c r="H17" s="100"/>
      <c r="I17" s="68"/>
      <c r="J17" s="68"/>
      <c r="K17" s="101"/>
      <c r="L17" s="101"/>
      <c r="M17" s="102"/>
    </row>
    <row r="18">
      <c r="A18" s="72" t="s">
        <v>79</v>
      </c>
      <c r="B18" s="96"/>
      <c r="C18" s="89"/>
      <c r="D18" s="99"/>
      <c r="E18" s="100"/>
      <c r="F18" s="101"/>
      <c r="G18" s="101"/>
      <c r="H18" s="100"/>
      <c r="I18" s="68"/>
      <c r="J18" s="68"/>
      <c r="K18" s="101"/>
      <c r="L18" s="101"/>
      <c r="M18" s="102"/>
    </row>
    <row r="19">
      <c r="A19" s="72" t="s">
        <v>80</v>
      </c>
      <c r="B19" s="103"/>
      <c r="C19" s="89"/>
      <c r="D19" s="99"/>
      <c r="E19" s="100"/>
      <c r="F19" s="101"/>
      <c r="G19" s="101"/>
      <c r="H19" s="100"/>
      <c r="I19" s="68"/>
      <c r="J19" s="68"/>
      <c r="K19" s="101"/>
      <c r="L19" s="101"/>
      <c r="M19" s="102"/>
    </row>
    <row r="20">
      <c r="A20" s="72" t="s">
        <v>81</v>
      </c>
      <c r="B20" s="96"/>
      <c r="C20" s="89"/>
      <c r="D20" s="99"/>
      <c r="E20" s="100"/>
      <c r="F20" s="101"/>
      <c r="G20" s="101"/>
      <c r="H20" s="100"/>
      <c r="I20" s="68"/>
      <c r="J20" s="68"/>
      <c r="K20" s="101"/>
      <c r="L20" s="101"/>
      <c r="M20" s="102"/>
    </row>
    <row r="21">
      <c r="A21" s="72" t="s">
        <v>82</v>
      </c>
      <c r="B21" s="103"/>
      <c r="C21" s="89"/>
      <c r="D21" s="99"/>
      <c r="E21" s="100"/>
      <c r="F21" s="101"/>
      <c r="G21" s="101"/>
      <c r="H21" s="100"/>
      <c r="I21" s="68"/>
      <c r="J21" s="68"/>
      <c r="K21" s="101"/>
      <c r="L21" s="101"/>
      <c r="M21" s="102"/>
    </row>
    <row r="22">
      <c r="A22" s="72" t="s">
        <v>83</v>
      </c>
      <c r="B22" s="96"/>
      <c r="C22" s="89"/>
      <c r="D22" s="99"/>
      <c r="E22" s="100"/>
      <c r="F22" s="101"/>
      <c r="G22" s="101"/>
      <c r="H22" s="100"/>
      <c r="I22" s="68"/>
      <c r="J22" s="68"/>
      <c r="K22" s="101"/>
      <c r="L22" s="101"/>
      <c r="M22" s="102"/>
    </row>
    <row r="23">
      <c r="A23" s="72" t="s">
        <v>84</v>
      </c>
      <c r="B23" s="96"/>
      <c r="C23" s="89"/>
      <c r="D23" s="99"/>
      <c r="E23" s="100"/>
      <c r="F23" s="101"/>
      <c r="G23" s="101"/>
      <c r="H23" s="100"/>
      <c r="I23" s="68"/>
      <c r="J23" s="68"/>
      <c r="K23" s="101"/>
      <c r="L23" s="101"/>
      <c r="M23" s="102"/>
    </row>
    <row r="24">
      <c r="A24" s="72" t="s">
        <v>85</v>
      </c>
      <c r="B24" s="96"/>
      <c r="C24" s="89"/>
      <c r="D24" s="99"/>
      <c r="E24" s="100"/>
      <c r="F24" s="101"/>
      <c r="G24" s="101"/>
      <c r="H24" s="100"/>
      <c r="I24" s="68"/>
      <c r="J24" s="68"/>
      <c r="K24" s="101"/>
      <c r="L24" s="101"/>
      <c r="M24" s="102"/>
    </row>
    <row r="25">
      <c r="A25" s="72" t="s">
        <v>86</v>
      </c>
      <c r="B25" s="96"/>
      <c r="C25" s="89"/>
      <c r="D25" s="99"/>
      <c r="E25" s="100"/>
      <c r="F25" s="104"/>
      <c r="G25" s="101"/>
      <c r="H25" s="100"/>
      <c r="I25" s="68"/>
      <c r="J25" s="68"/>
      <c r="K25" s="101"/>
      <c r="L25" s="101"/>
      <c r="M25" s="102"/>
    </row>
    <row r="26">
      <c r="A26" s="72" t="s">
        <v>87</v>
      </c>
      <c r="B26" s="103"/>
      <c r="C26" s="89"/>
      <c r="D26" s="99"/>
      <c r="E26" s="100"/>
      <c r="F26" s="105"/>
      <c r="G26" s="101"/>
      <c r="H26" s="100"/>
      <c r="I26" s="68"/>
      <c r="J26" s="68"/>
      <c r="K26" s="101"/>
      <c r="L26" s="101"/>
      <c r="M26" s="102"/>
    </row>
    <row r="27">
      <c r="A27" s="72" t="s">
        <v>88</v>
      </c>
      <c r="B27" s="96"/>
      <c r="C27" s="89"/>
      <c r="D27" s="99"/>
      <c r="E27" s="100"/>
      <c r="F27" s="101"/>
      <c r="G27" s="101"/>
      <c r="H27" s="100"/>
      <c r="I27" s="68"/>
      <c r="J27" s="68"/>
      <c r="K27" s="101"/>
      <c r="L27" s="101"/>
      <c r="M27" s="102"/>
    </row>
    <row r="28">
      <c r="A28" s="72" t="s">
        <v>89</v>
      </c>
      <c r="B28" s="96"/>
      <c r="C28" s="89"/>
      <c r="D28" s="99"/>
      <c r="E28" s="100"/>
      <c r="F28" s="101"/>
      <c r="G28" s="101"/>
      <c r="H28" s="100"/>
      <c r="I28" s="68"/>
      <c r="J28" s="68"/>
      <c r="K28" s="101"/>
      <c r="L28" s="101"/>
      <c r="M28" s="102"/>
    </row>
    <row r="29">
      <c r="A29" s="72" t="s">
        <v>90</v>
      </c>
      <c r="B29" s="96"/>
      <c r="C29" s="89"/>
      <c r="D29" s="99"/>
      <c r="E29" s="100"/>
      <c r="F29" s="101"/>
      <c r="G29" s="101"/>
      <c r="H29" s="100"/>
      <c r="I29" s="68"/>
      <c r="J29" s="68"/>
      <c r="K29" s="101"/>
      <c r="L29" s="101"/>
      <c r="M29" s="102"/>
    </row>
    <row r="30">
      <c r="A30" s="72" t="s">
        <v>91</v>
      </c>
      <c r="B30" s="96"/>
      <c r="C30" s="89"/>
      <c r="D30" s="99"/>
      <c r="E30" s="100"/>
      <c r="F30" s="101"/>
      <c r="G30" s="101"/>
      <c r="H30" s="100"/>
      <c r="I30" s="68"/>
      <c r="J30" s="68"/>
      <c r="K30" s="101"/>
      <c r="L30" s="101"/>
      <c r="M30" s="102"/>
    </row>
    <row r="31">
      <c r="A31" s="72" t="s">
        <v>92</v>
      </c>
      <c r="B31" s="96"/>
      <c r="C31" s="89"/>
      <c r="D31" s="99"/>
      <c r="E31" s="100"/>
      <c r="F31" s="101"/>
      <c r="G31" s="101"/>
      <c r="H31" s="100"/>
      <c r="I31" s="68"/>
      <c r="J31" s="68"/>
      <c r="K31" s="101"/>
      <c r="L31" s="101"/>
      <c r="M31" s="102"/>
    </row>
    <row r="32">
      <c r="A32" s="72" t="s">
        <v>93</v>
      </c>
      <c r="B32" s="96"/>
      <c r="C32" s="89"/>
      <c r="D32" s="99"/>
      <c r="E32" s="100"/>
      <c r="F32" s="101"/>
      <c r="G32" s="101"/>
      <c r="H32" s="100"/>
      <c r="I32" s="68"/>
      <c r="J32" s="68"/>
      <c r="K32" s="101"/>
      <c r="L32" s="101"/>
      <c r="M32" s="102"/>
    </row>
    <row r="33">
      <c r="A33" s="106"/>
      <c r="B33" s="107"/>
      <c r="C33" s="108"/>
      <c r="D33" s="108"/>
      <c r="E33" s="108"/>
      <c r="F33" s="108"/>
      <c r="G33" s="108"/>
      <c r="H33" s="108"/>
      <c r="I33" s="108"/>
      <c r="J33" s="108"/>
      <c r="K33" s="108"/>
      <c r="L33" s="108"/>
      <c r="M33" s="109"/>
    </row>
  </sheetData>
  <mergeCells count="1">
    <mergeCell ref="B1:K1"/>
  </mergeCells>
  <conditionalFormatting sqref="B3:B32 F3:F32">
    <cfRule type="cellIs" dxfId="5" priority="1" operator="greaterThanOrEqual">
      <formula>1000</formula>
    </cfRule>
  </conditionalFormatting>
  <conditionalFormatting sqref="B3:B32 F3:F32">
    <cfRule type="cellIs" dxfId="1" priority="2" operator="lessThan">
      <formula>100</formula>
    </cfRule>
  </conditionalFormatting>
  <conditionalFormatting sqref="B3:B32 F3:F32">
    <cfRule type="cellIs" dxfId="3" priority="3" operator="between">
      <formula>500</formula>
      <formula>999.9999</formula>
    </cfRule>
  </conditionalFormatting>
  <conditionalFormatting sqref="B3:B32 F3:F32">
    <cfRule type="cellIs" dxfId="2" priority="4" operator="between">
      <formula>100</formula>
      <formula>499.999</formula>
    </cfRule>
  </conditionalFormatting>
  <conditionalFormatting sqref="D3:D32">
    <cfRule type="cellIs" dxfId="3" priority="5" operator="lessThan">
      <formula>100</formula>
    </cfRule>
  </conditionalFormatting>
  <conditionalFormatting sqref="D3:D32">
    <cfRule type="cellIs" dxfId="2" priority="6" operator="between">
      <formula>100</formula>
      <formula>499.9999</formula>
    </cfRule>
  </conditionalFormatting>
  <conditionalFormatting sqref="D3:D32">
    <cfRule type="cellIs" dxfId="6" priority="7" operator="between">
      <formula>500</formula>
      <formula>999.9999</formula>
    </cfRule>
  </conditionalFormatting>
  <conditionalFormatting sqref="D3:D32">
    <cfRule type="cellIs" dxfId="1" priority="8" operator="greaterThanOrEqual">
      <formula>1000</formula>
    </cfRule>
  </conditionalFormatting>
  <conditionalFormatting sqref="F3:F32">
    <cfRule type="cellIs" dxfId="5" priority="9" operator="greaterThanOrEqual">
      <formula>1000</formula>
    </cfRule>
  </conditionalFormatting>
  <conditionalFormatting sqref="E3:E32">
    <cfRule type="cellIs" dxfId="7" priority="10" operator="lessThan">
      <formula>1000</formula>
    </cfRule>
  </conditionalFormatting>
  <conditionalFormatting sqref="E3:E32">
    <cfRule type="cellIs" dxfId="6" priority="11" operator="between">
      <formula>1000</formula>
      <formula>2999.999</formula>
    </cfRule>
  </conditionalFormatting>
  <conditionalFormatting sqref="E3:E32">
    <cfRule type="cellIs" dxfId="2" priority="12" operator="between">
      <formula>3000</formula>
      <formula>7999.999</formula>
    </cfRule>
  </conditionalFormatting>
  <conditionalFormatting sqref="E3:E32">
    <cfRule type="cellIs" dxfId="3" priority="13" operator="between">
      <formula>8000</formula>
      <formula>"12,000"</formula>
    </cfRule>
  </conditionalFormatting>
  <conditionalFormatting sqref="E3:E32">
    <cfRule type="cellIs" dxfId="5" priority="14" operator="greaterThan">
      <formula>12000</formula>
    </cfRule>
  </conditionalFormatting>
  <conditionalFormatting sqref="I3:I32">
    <cfRule type="expression" dxfId="3" priority="15">
      <formula>$I3="PASS"</formula>
    </cfRule>
  </conditionalFormatting>
  <conditionalFormatting sqref="J3:J32">
    <cfRule type="expression" dxfId="3" priority="16">
      <formula>$J3="PASS"</formula>
    </cfRule>
  </conditionalFormatting>
  <conditionalFormatting sqref="J3:J32">
    <cfRule type="cellIs" dxfId="1" priority="17" operator="equal">
      <formula>"FAIL"</formula>
    </cfRule>
  </conditionalFormatting>
  <conditionalFormatting sqref="I3:I32">
    <cfRule type="cellIs" dxfId="1" priority="18" operator="equal">
      <formula>"FAIL"</formula>
    </cfRule>
  </conditionalFormatting>
  <dataValidations>
    <dataValidation type="list" allowBlank="1" sqref="I3:J32">
      <formula1>'HIDDEN - PassFail List'!$A$1:$A$2</formula1>
    </dataValidation>
  </dataValidations>
  <hyperlinks>
    <hyperlink r:id="rId2" ref="C3"/>
    <hyperlink r:id="rId3" ref="G3"/>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25"/>
    <col customWidth="1" min="2" max="2" width="11.88"/>
    <col customWidth="1" min="3" max="3" width="2.75"/>
  </cols>
  <sheetData>
    <row r="1" ht="60.0" customHeight="1">
      <c r="A1" s="1" t="s">
        <v>1</v>
      </c>
      <c r="B1" s="4"/>
      <c r="C1" s="6"/>
    </row>
    <row r="2">
      <c r="A2" s="7"/>
      <c r="B2" s="9"/>
      <c r="C2" s="11"/>
    </row>
    <row r="3">
      <c r="A3" s="12" t="s">
        <v>4</v>
      </c>
      <c r="B3" s="15">
        <v>34.95</v>
      </c>
      <c r="C3" s="18"/>
    </row>
    <row r="4">
      <c r="A4" s="7"/>
      <c r="B4" s="9"/>
      <c r="C4" s="20"/>
    </row>
    <row r="5">
      <c r="A5" s="23" t="s">
        <v>7</v>
      </c>
      <c r="B5" s="26">
        <v>4.5</v>
      </c>
      <c r="C5" s="18"/>
    </row>
    <row r="6">
      <c r="A6" s="28" t="s">
        <v>12</v>
      </c>
      <c r="B6" s="26">
        <v>1.0</v>
      </c>
      <c r="C6" s="18"/>
    </row>
    <row r="7">
      <c r="A7" s="28" t="s">
        <v>14</v>
      </c>
      <c r="B7" s="26">
        <v>2.0</v>
      </c>
      <c r="C7" s="18"/>
    </row>
    <row r="8">
      <c r="A8" s="42" t="s">
        <v>16</v>
      </c>
      <c r="B8" s="26">
        <f>0.15*B3</f>
        <v>5.2425</v>
      </c>
      <c r="C8" s="18"/>
    </row>
    <row r="9">
      <c r="A9" s="42" t="s">
        <v>36</v>
      </c>
      <c r="B9" s="26">
        <v>6.0</v>
      </c>
      <c r="C9" s="18"/>
    </row>
    <row r="10">
      <c r="A10" s="48" t="s">
        <v>37</v>
      </c>
      <c r="B10" s="26">
        <v>0.05</v>
      </c>
      <c r="C10" s="18"/>
    </row>
    <row r="11">
      <c r="A11" s="28" t="s">
        <v>38</v>
      </c>
      <c r="B11" s="49">
        <v>5.25</v>
      </c>
      <c r="C11" s="18"/>
    </row>
    <row r="12">
      <c r="A12" s="28" t="s">
        <v>39</v>
      </c>
      <c r="B12" s="26">
        <v>0.0</v>
      </c>
      <c r="C12" s="18"/>
    </row>
    <row r="13">
      <c r="A13" s="7"/>
      <c r="B13" s="9"/>
      <c r="C13" s="20"/>
    </row>
    <row r="14">
      <c r="A14" s="50" t="s">
        <v>41</v>
      </c>
      <c r="B14" s="55">
        <f>B3-SUM(B5:B12)</f>
        <v>10.9075</v>
      </c>
      <c r="C14" s="18"/>
    </row>
    <row r="15">
      <c r="A15" s="50" t="s">
        <v>47</v>
      </c>
      <c r="B15" s="56">
        <f>B14/B3</f>
        <v>0.3120886981</v>
      </c>
      <c r="C15" s="18"/>
    </row>
    <row r="16">
      <c r="A16" s="57" t="s">
        <v>48</v>
      </c>
      <c r="B16" s="56">
        <f>(B14/(B5+B6+B7))</f>
        <v>1.454333333</v>
      </c>
      <c r="C16" s="18"/>
    </row>
    <row r="17" ht="26.25" customHeight="1">
      <c r="A17" s="61"/>
      <c r="B17" s="62"/>
      <c r="C17" s="20"/>
    </row>
  </sheetData>
  <mergeCells count="1">
    <mergeCell ref="A1:C1"/>
  </mergeCells>
  <conditionalFormatting sqref="B15">
    <cfRule type="cellIs" dxfId="1" priority="1" operator="lessThanOrEqual">
      <formula>"9.99%"</formula>
    </cfRule>
  </conditionalFormatting>
  <conditionalFormatting sqref="B15">
    <cfRule type="cellIs" dxfId="2" priority="2" operator="between">
      <formula>"10%"</formula>
      <formula>"20.00%"</formula>
    </cfRule>
  </conditionalFormatting>
  <conditionalFormatting sqref="B15">
    <cfRule type="cellIs" dxfId="3" priority="3" operator="between">
      <formula>"20%"</formula>
      <formula>"25.00%"</formula>
    </cfRule>
  </conditionalFormatting>
  <conditionalFormatting sqref="B15">
    <cfRule type="cellIs" dxfId="4" priority="4" operator="greaterThan">
      <formula>"25%"</formula>
    </cfRule>
  </conditionalFormatting>
  <conditionalFormatting sqref="B16">
    <cfRule type="cellIs" dxfId="1" priority="5" operator="lessThanOrEqual">
      <formula>"49.90%"</formula>
    </cfRule>
  </conditionalFormatting>
  <conditionalFormatting sqref="B16">
    <cfRule type="cellIs" dxfId="2" priority="6" operator="between">
      <formula>"50%"</formula>
      <formula>"99.90%"</formula>
    </cfRule>
  </conditionalFormatting>
  <conditionalFormatting sqref="B16">
    <cfRule type="cellIs" dxfId="3" priority="7" operator="between">
      <formula>"100%"</formula>
      <formula>"199.90%"</formula>
    </cfRule>
  </conditionalFormatting>
  <conditionalFormatting sqref="B16">
    <cfRule type="cellIs" dxfId="4" priority="8" operator="greaterThanOrEqual">
      <formula>"200%"</formula>
    </cfRule>
  </conditionalFormatting>
  <hyperlinks>
    <hyperlink r:id="rId2" ref="A8"/>
    <hyperlink r:id="rId3" ref="A9"/>
    <hyperlink r:id="rId4" ref="A10"/>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13"/>
    <col customWidth="1" min="2" max="2" width="16.13"/>
    <col customWidth="1" min="3" max="3" width="2.63"/>
  </cols>
  <sheetData>
    <row r="1" ht="72.75" customHeight="1">
      <c r="A1" s="2" t="s">
        <v>0</v>
      </c>
      <c r="B1" s="3"/>
      <c r="C1" s="5"/>
    </row>
    <row r="2">
      <c r="A2" s="10" t="s">
        <v>2</v>
      </c>
      <c r="B2" s="10" t="s">
        <v>3</v>
      </c>
      <c r="C2" s="13"/>
    </row>
    <row r="3">
      <c r="A3" s="14" t="s">
        <v>5</v>
      </c>
      <c r="B3" s="19" t="b">
        <v>0</v>
      </c>
      <c r="C3" s="22"/>
    </row>
    <row r="4">
      <c r="A4" s="14" t="s">
        <v>8</v>
      </c>
      <c r="B4" s="19" t="b">
        <v>0</v>
      </c>
      <c r="C4" s="25"/>
    </row>
    <row r="5">
      <c r="A5" s="14" t="s">
        <v>9</v>
      </c>
      <c r="B5" s="19" t="b">
        <v>0</v>
      </c>
      <c r="C5" s="25"/>
    </row>
    <row r="6">
      <c r="A6" s="14" t="s">
        <v>10</v>
      </c>
      <c r="B6" s="19" t="b">
        <v>0</v>
      </c>
      <c r="C6" s="25"/>
    </row>
    <row r="7">
      <c r="A7" s="14" t="s">
        <v>11</v>
      </c>
      <c r="B7" s="19" t="b">
        <v>0</v>
      </c>
      <c r="C7" s="25"/>
    </row>
    <row r="8">
      <c r="A8" s="14" t="s">
        <v>15</v>
      </c>
      <c r="B8" s="19" t="b">
        <v>0</v>
      </c>
      <c r="C8" s="25"/>
    </row>
    <row r="9">
      <c r="A9" s="14" t="s">
        <v>17</v>
      </c>
      <c r="B9" s="19" t="b">
        <v>0</v>
      </c>
      <c r="C9" s="25"/>
    </row>
    <row r="10">
      <c r="A10" s="14" t="s">
        <v>19</v>
      </c>
      <c r="B10" s="19" t="b">
        <v>0</v>
      </c>
      <c r="C10" s="25"/>
    </row>
    <row r="11">
      <c r="A11" s="14" t="s">
        <v>20</v>
      </c>
      <c r="B11" s="31" t="b">
        <v>0</v>
      </c>
      <c r="C11" s="25"/>
    </row>
    <row r="12">
      <c r="A12" s="14" t="s">
        <v>22</v>
      </c>
      <c r="B12" s="31" t="b">
        <v>0</v>
      </c>
      <c r="C12" s="25"/>
    </row>
    <row r="13">
      <c r="A13" s="14" t="s">
        <v>24</v>
      </c>
      <c r="B13" s="31" t="b">
        <v>0</v>
      </c>
      <c r="C13" s="25"/>
    </row>
    <row r="14">
      <c r="A14" s="14" t="s">
        <v>26</v>
      </c>
      <c r="B14" s="31" t="b">
        <v>0</v>
      </c>
      <c r="C14" s="25"/>
    </row>
    <row r="15" ht="23.25" customHeight="1">
      <c r="A15" s="35"/>
      <c r="B15" s="37"/>
      <c r="C15" s="39"/>
    </row>
  </sheetData>
  <mergeCells count="1">
    <mergeCell ref="A1:C1"/>
  </mergeCells>
  <conditionalFormatting sqref="B3:B14">
    <cfRule type="expression" dxfId="0" priority="1">
      <formula>$B3=TRUE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63.38"/>
    <col customWidth="1" min="3" max="3" width="2.75"/>
  </cols>
  <sheetData>
    <row r="1" ht="67.5" customHeight="1">
      <c r="A1" s="51" t="s">
        <v>40</v>
      </c>
      <c r="B1" s="5"/>
      <c r="C1" s="52"/>
    </row>
    <row r="2">
      <c r="A2" s="10" t="s">
        <v>43</v>
      </c>
      <c r="B2" s="10" t="s">
        <v>45</v>
      </c>
      <c r="C2" s="54"/>
    </row>
    <row r="3">
      <c r="A3" s="58" t="s">
        <v>46</v>
      </c>
      <c r="B3" s="59" t="s">
        <v>49</v>
      </c>
      <c r="C3" s="54"/>
    </row>
    <row r="4">
      <c r="A4" s="64" t="s">
        <v>50</v>
      </c>
      <c r="B4" s="65" t="s">
        <v>52</v>
      </c>
      <c r="C4" s="66"/>
    </row>
    <row r="5">
      <c r="A5" s="64" t="s">
        <v>53</v>
      </c>
      <c r="B5" s="65" t="s">
        <v>54</v>
      </c>
      <c r="C5" s="66"/>
    </row>
    <row r="6">
      <c r="A6" s="64" t="s">
        <v>55</v>
      </c>
      <c r="B6" s="65" t="s">
        <v>56</v>
      </c>
      <c r="C6" s="66"/>
    </row>
    <row r="7">
      <c r="A7" s="73" t="s">
        <v>57</v>
      </c>
      <c r="B7" s="65" t="s">
        <v>59</v>
      </c>
      <c r="C7" s="66"/>
    </row>
    <row r="8">
      <c r="A8" s="64" t="s">
        <v>60</v>
      </c>
      <c r="B8" s="65" t="s">
        <v>62</v>
      </c>
      <c r="C8" s="66"/>
    </row>
    <row r="9">
      <c r="A9" s="73" t="s">
        <v>63</v>
      </c>
      <c r="B9" s="65" t="s">
        <v>66</v>
      </c>
      <c r="C9" s="66"/>
    </row>
    <row r="10">
      <c r="A10" s="64" t="s">
        <v>67</v>
      </c>
      <c r="B10" s="65" t="s">
        <v>71</v>
      </c>
      <c r="C10" s="66"/>
    </row>
    <row r="11">
      <c r="A11" s="85"/>
      <c r="B11" s="85"/>
      <c r="C11" s="87"/>
    </row>
  </sheetData>
  <mergeCells count="1">
    <mergeCell ref="A1:B1"/>
  </mergeCells>
  <hyperlinks>
    <hyperlink r:id="rId1" ref="A3"/>
    <hyperlink r:id="rId2" ref="A4"/>
    <hyperlink r:id="rId3" ref="A5"/>
    <hyperlink r:id="rId4" ref="A6"/>
    <hyperlink r:id="rId5" ref="A7"/>
    <hyperlink r:id="rId6" ref="A8"/>
    <hyperlink r:id="rId7" ref="A9"/>
    <hyperlink r:id="rId8" ref="A10"/>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42</v>
      </c>
    </row>
    <row r="2">
      <c r="A2" s="53" t="s">
        <v>44</v>
      </c>
    </row>
  </sheetData>
  <drawing r:id="rId1"/>
</worksheet>
</file>